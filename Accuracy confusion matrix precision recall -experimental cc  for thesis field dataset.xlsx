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\Thesis\"/>
    </mc:Choice>
  </mc:AlternateContent>
  <xr:revisionPtr revIDLastSave="0" documentId="13_ncr:1_{42995DE3-02DE-4DA4-95F3-0DC24814BCDA}" xr6:coauthVersionLast="47" xr6:coauthVersionMax="47" xr10:uidLastSave="{00000000-0000-0000-0000-000000000000}"/>
  <bookViews>
    <workbookView xWindow="-108" yWindow="-108" windowWidth="23256" windowHeight="12576" activeTab="1" xr2:uid="{5B794DF8-DCBA-45AB-8B82-DF2047444134}"/>
  </bookViews>
  <sheets>
    <sheet name="Sheet5" sheetId="5" r:id="rId1"/>
    <sheet name="Accuracy" sheetId="2" r:id="rId2"/>
    <sheet name="Precision" sheetId="3" r:id="rId3"/>
    <sheet name="Recall" sheetId="4" r:id="rId4"/>
    <sheet name="F1 SCORE" sheetId="6" r:id="rId5"/>
    <sheet name="Sheet3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6" l="1"/>
  <c r="C39" i="6"/>
  <c r="C27" i="6"/>
  <c r="C24" i="6"/>
  <c r="C25" i="6"/>
  <c r="C26" i="6"/>
  <c r="H48" i="8"/>
  <c r="G48" i="8"/>
  <c r="B52" i="8"/>
  <c r="C52" i="8"/>
  <c r="A52" i="8"/>
  <c r="C51" i="8"/>
  <c r="C50" i="8"/>
  <c r="C49" i="8"/>
  <c r="C48" i="8"/>
  <c r="C47" i="8"/>
  <c r="C46" i="8"/>
  <c r="E52" i="8"/>
  <c r="E38" i="8"/>
  <c r="C38" i="8"/>
  <c r="G23" i="8"/>
  <c r="B38" i="8"/>
  <c r="A38" i="8"/>
  <c r="C37" i="8"/>
  <c r="C36" i="8"/>
  <c r="C35" i="8"/>
  <c r="C34" i="8"/>
  <c r="C33" i="8"/>
  <c r="M14" i="8"/>
  <c r="L14" i="8"/>
  <c r="C28" i="8"/>
  <c r="C23" i="8"/>
  <c r="C24" i="8"/>
  <c r="C26" i="8"/>
  <c r="C22" i="8"/>
  <c r="J14" i="8"/>
  <c r="B16" i="8"/>
  <c r="D16" i="8"/>
  <c r="E16" i="8"/>
  <c r="A16" i="8"/>
  <c r="F15" i="8"/>
  <c r="F14" i="8"/>
  <c r="F13" i="8"/>
  <c r="F12" i="8"/>
  <c r="F16" i="8" s="1"/>
  <c r="F11" i="8"/>
  <c r="C21" i="6"/>
  <c r="C20" i="6"/>
  <c r="C19" i="6"/>
  <c r="C18" i="6"/>
  <c r="C17" i="6"/>
  <c r="C16" i="6"/>
  <c r="Q44" i="5"/>
  <c r="Q45" i="5"/>
  <c r="Q46" i="5"/>
  <c r="Q47" i="5"/>
  <c r="Q48" i="5"/>
  <c r="Q49" i="5"/>
  <c r="Q42" i="5"/>
  <c r="C12" i="6"/>
</calcChain>
</file>

<file path=xl/sharedStrings.xml><?xml version="1.0" encoding="utf-8"?>
<sst xmlns="http://schemas.openxmlformats.org/spreadsheetml/2006/main" count="187" uniqueCount="86">
  <si>
    <t>Class</t>
  </si>
  <si>
    <t xml:space="preserve">bicycle </t>
  </si>
  <si>
    <t>car</t>
  </si>
  <si>
    <t>motorcycle</t>
  </si>
  <si>
    <t>bus</t>
  </si>
  <si>
    <t>truck</t>
  </si>
  <si>
    <t>P</t>
  </si>
  <si>
    <t>R</t>
  </si>
  <si>
    <t>mAP50</t>
  </si>
  <si>
    <t>mAP50-95</t>
  </si>
  <si>
    <t>YOLO v5</t>
  </si>
  <si>
    <t>Instances</t>
  </si>
  <si>
    <t>All</t>
  </si>
  <si>
    <t>Accuracy</t>
  </si>
  <si>
    <t>Precission</t>
  </si>
  <si>
    <t>Recall</t>
  </si>
  <si>
    <t>Table 11. Comparison of inference speed and total count accuracy in vehicle discovery.</t>
  </si>
  <si>
    <t>Model</t>
  </si>
  <si>
    <t>Retinanet</t>
  </si>
  <si>
    <t>YOLOv5</t>
  </si>
  <si>
    <t>YOLOv6</t>
  </si>
  <si>
    <t>YOLOv7</t>
  </si>
  <si>
    <t>YOLOv8</t>
  </si>
  <si>
    <t>Picture name</t>
  </si>
  <si>
    <t>Traffic scene</t>
  </si>
  <si>
    <t>Picture Number</t>
  </si>
  <si>
    <t>Vehicles Total count</t>
  </si>
  <si>
    <t>Inference Speed in seconds</t>
  </si>
  <si>
    <t>Table 12. Comparison of IOU and mean average precision in vehicle discovery.</t>
  </si>
  <si>
    <t>Confidence Score</t>
  </si>
  <si>
    <t>Intersection over Union (IoU)</t>
  </si>
  <si>
    <t>Mean Average Precision (mAP)</t>
  </si>
  <si>
    <t>YOLO v6</t>
  </si>
  <si>
    <t>YOLO v7</t>
  </si>
  <si>
    <t>YOLO v8</t>
  </si>
  <si>
    <t>F1 SCORE</t>
  </si>
  <si>
    <t>F1 Score</t>
  </si>
  <si>
    <t>Class                 Images      Labels     P@.5iou     R@.5iou    F1@.5iou      mAP@.5  mAP@.5:.95</t>
  </si>
  <si>
    <t xml:space="preserve">all           </t>
  </si>
  <si>
    <t xml:space="preserve">             Class      Images      Labels          </t>
  </si>
  <si>
    <t xml:space="preserve"> P           </t>
  </si>
  <si>
    <t xml:space="preserve">R      </t>
  </si>
  <si>
    <t xml:space="preserve">mAP@.5 </t>
  </si>
  <si>
    <t xml:space="preserve">                 all          60        1559      </t>
  </si>
  <si>
    <t>Class     Images  Instances      Box(P          R      mAP50  mAP50-95): 100% 2/2 [00:01&lt;00:00,  1.03it/s]</t>
  </si>
  <si>
    <t xml:space="preserve">                   all         60        569      0.702       0.55      0.622      0.468</t>
  </si>
  <si>
    <t xml:space="preserve">               bicycle          4          5       0.68        0.2       0.33      0.221</t>
  </si>
  <si>
    <t xml:space="preserve">                   car         58        378       0.73      0.476       0.56      0.336</t>
  </si>
  <si>
    <t xml:space="preserve">            motorcycle         37         99      0.501      0.284      0.353      0.176</t>
  </si>
  <si>
    <t xml:space="preserve">                   bus         31         41       0.81      0.585      0.725      0.565</t>
  </si>
  <si>
    <t xml:space="preserve">                 train          1          1      0.894          1      0.995      0.995</t>
  </si>
  <si>
    <t xml:space="preserve">                 truck         28         45      0.599      0.756      0.771      0.513</t>
  </si>
  <si>
    <t xml:space="preserve">P </t>
  </si>
  <si>
    <t xml:space="preserve"> R</t>
  </si>
  <si>
    <t>F1-SCORE</t>
  </si>
  <si>
    <t xml:space="preserve">Bicycle         </t>
  </si>
  <si>
    <t xml:space="preserve"> Car    </t>
  </si>
  <si>
    <t xml:space="preserve">Motorcycle           </t>
  </si>
  <si>
    <t xml:space="preserve">Bus          </t>
  </si>
  <si>
    <t xml:space="preserve">Train         </t>
  </si>
  <si>
    <t xml:space="preserve">Truck    </t>
  </si>
  <si>
    <t>f1 score</t>
  </si>
  <si>
    <t>What is support value in confusion matrix?</t>
  </si>
  <si>
    <r>
      <t>It seems to indicate that the support is </t>
    </r>
    <r>
      <rPr>
        <sz val="10"/>
        <color rgb="FF040C28"/>
        <rFont val="Arial"/>
        <family val="2"/>
      </rPr>
      <t>the number of occurrences of each particular class in the true responses</t>
    </r>
    <r>
      <rPr>
        <sz val="10"/>
        <color rgb="FF1F1F1F"/>
        <rFont val="Arial"/>
        <family val="2"/>
      </rPr>
      <t> (responses in your test set). You can calculate it by summing the rows of the confusion matrix.</t>
    </r>
    <r>
      <rPr>
        <sz val="7"/>
        <color rgb="FF1F1F1F"/>
        <rFont val="Arial"/>
        <family val="2"/>
      </rPr>
      <t>10 Jun 2015</t>
    </r>
  </si>
  <si>
    <t>bicycle :-  34</t>
  </si>
  <si>
    <t>car :-  1013</t>
  </si>
  <si>
    <t>motorcycle :-  203</t>
  </si>
  <si>
    <t>bus :-  60</t>
  </si>
  <si>
    <t>truck :-  196</t>
  </si>
  <si>
    <t xml:space="preserve"> all         185        2321       0.875        0.78       0.861       0.659</t>
  </si>
  <si>
    <t xml:space="preserve"> all         185        2321  </t>
  </si>
  <si>
    <t xml:space="preserve">               bicycle         23         45       0.72      0.573      0.587      0.375</t>
  </si>
  <si>
    <t xml:space="preserve">                   car        164       1406      0.867      0.881      0.932      0.825</t>
  </si>
  <si>
    <t xml:space="preserve">            motorcycle         73        183      0.746      0.727      0.817      0.607</t>
  </si>
  <si>
    <t xml:space="preserve">                   bus         92        163      0.744      0.736      0.811      0.656</t>
  </si>
  <si>
    <t xml:space="preserve">                 truck        101        215      0.689      0.692      0.717      0.595</t>
  </si>
  <si>
    <t xml:space="preserve">all        240       3154      0.647      0.521      </t>
  </si>
  <si>
    <t xml:space="preserve">0.626        0.44       0.432       0.436 </t>
  </si>
  <si>
    <t>all                      240        3818      0.626        0.44       0.432       0.436     0.26</t>
  </si>
  <si>
    <t xml:space="preserve"> all        240       2957      </t>
  </si>
  <si>
    <t xml:space="preserve">   all         240        3966       0.787       0.714       0.794       0.641</t>
  </si>
  <si>
    <t xml:space="preserve">             bicycle         240          96       0.716         0.5       0.592       0.406</t>
  </si>
  <si>
    <t xml:space="preserve">                 car         240        1431       0.843       0.906        0.94       0.827</t>
  </si>
  <si>
    <t xml:space="preserve">          motorcycle         240        1937       0.879       0.876       0.937       0.685</t>
  </si>
  <si>
    <t xml:space="preserve">                 bus         240          90       0.775       0.678        0.76       0.661</t>
  </si>
  <si>
    <t xml:space="preserve">               truck         240         412       0.724       0.611        0.74       0.626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</si>
</sst>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mbria"/>
      <family val="1"/>
    </font>
    <font>
      <sz val="10"/>
      <color rgb="FF1F1F1F"/>
      <name val="Arial"/>
      <family val="2"/>
    </font>
    <font>
      <sz val="10"/>
      <color rgb="FF040C28"/>
      <name val="Arial"/>
      <family val="2"/>
    </font>
    <font>
      <sz val="7"/>
      <color rgb="FF1F1F1F"/>
      <name val="Arial"/>
      <family val="2"/>
    </font>
    <font>
      <sz val="12"/>
      <color theme="1"/>
      <name val="Cambria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0" fontId="5" fillId="0" borderId="0" xfId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1" xfId="0" applyBorder="1"/>
    <xf numFmtId="0" fontId="0" fillId="0" borderId="25" xfId="0" applyBorder="1"/>
    <xf numFmtId="164" fontId="0" fillId="0" borderId="24" xfId="0" applyNumberFormat="1" applyBorder="1"/>
    <xf numFmtId="164" fontId="0" fillId="0" borderId="18" xfId="0" applyNumberFormat="1" applyBorder="1"/>
    <xf numFmtId="164" fontId="0" fillId="0" borderId="21" xfId="0" applyNumberFormat="1" applyBorder="1"/>
    <xf numFmtId="0" fontId="6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5" fontId="0" fillId="0" borderId="0" xfId="0" applyNumberFormat="1"/>
    <xf numFmtId="2" fontId="0" fillId="0" borderId="0" xfId="0" applyNumberFormat="1"/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IOU and mean average precision in vehicle discovery.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Sheet5!$B$23</c:f>
              <c:strCache>
                <c:ptCount val="1"/>
                <c:pt idx="0">
                  <c:v>Confidence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Sheet5!$C$23:$G$23</c:f>
              <c:numCache>
                <c:formatCode>General</c:formatCode>
                <c:ptCount val="5"/>
                <c:pt idx="0">
                  <c:v>0.05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1-4275-A73E-A8CE53B6BD59}"/>
            </c:ext>
          </c:extLst>
        </c:ser>
        <c:ser>
          <c:idx val="1"/>
          <c:order val="1"/>
          <c:tx>
            <c:strRef>
              <c:f>Sheet5!$B$24</c:f>
              <c:strCache>
                <c:ptCount val="1"/>
                <c:pt idx="0">
                  <c:v>Intersection over Union (IoU)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Sheet5!$C$24:$G$24</c:f>
              <c:numCache>
                <c:formatCode>General</c:formatCode>
                <c:ptCount val="5"/>
                <c:pt idx="0">
                  <c:v>0.5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1-4275-A73E-A8CE53B6BD59}"/>
            </c:ext>
          </c:extLst>
        </c:ser>
        <c:ser>
          <c:idx val="2"/>
          <c:order val="2"/>
          <c:tx>
            <c:strRef>
              <c:f>Sheet5!$B$25</c:f>
              <c:strCache>
                <c:ptCount val="1"/>
                <c:pt idx="0">
                  <c:v>Mean Average Precision (mAP)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Sheet5!$C$25:$G$25</c:f>
              <c:numCache>
                <c:formatCode>0%</c:formatCode>
                <c:ptCount val="5"/>
                <c:pt idx="0">
                  <c:v>0.84</c:v>
                </c:pt>
                <c:pt idx="1">
                  <c:v>0.74</c:v>
                </c:pt>
                <c:pt idx="2">
                  <c:v>0.74</c:v>
                </c:pt>
                <c:pt idx="3">
                  <c:v>0.74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1-4275-A73E-A8CE53B6BD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5002568"/>
        <c:axId val="425004728"/>
      </c:barChart>
      <c:catAx>
        <c:axId val="42500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4728"/>
        <c:crosses val="autoZero"/>
        <c:auto val="1"/>
        <c:lblAlgn val="ctr"/>
        <c:lblOffset val="100"/>
        <c:noMultiLvlLbl val="0"/>
      </c:catAx>
      <c:valAx>
        <c:axId val="42500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Accuracy!$D$9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Accuracy!$E$8:$H$8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Accuracy!$E$9:$H$9</c:f>
              <c:numCache>
                <c:formatCode>General</c:formatCode>
                <c:ptCount val="4"/>
                <c:pt idx="0">
                  <c:v>0.56520000000000004</c:v>
                </c:pt>
                <c:pt idx="1">
                  <c:v>0.436</c:v>
                </c:pt>
                <c:pt idx="2">
                  <c:v>0.79400000000000004</c:v>
                </c:pt>
                <c:pt idx="3">
                  <c:v>0.58299999999999996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2-4DA7-A183-C295086C1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0792016"/>
        <c:axId val="530792736"/>
      </c:lineChart>
      <c:catAx>
        <c:axId val="53079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736"/>
        <c:crosses val="autoZero"/>
        <c:auto val="1"/>
        <c:lblAlgn val="ctr"/>
        <c:lblOffset val="100"/>
        <c:noMultiLvlLbl val="0"/>
      </c:catAx>
      <c:valAx>
        <c:axId val="530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Precision!$C$10</c:f>
              <c:strCache>
                <c:ptCount val="1"/>
                <c:pt idx="0">
                  <c:v>Precission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Precision!$D$9:$G$9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Precision!$D$10:$G$10</c:f>
              <c:numCache>
                <c:formatCode>General</c:formatCode>
                <c:ptCount val="4"/>
                <c:pt idx="0">
                  <c:v>0.64700000000000002</c:v>
                </c:pt>
                <c:pt idx="1">
                  <c:v>0.626</c:v>
                </c:pt>
                <c:pt idx="2">
                  <c:v>0.78700000000000003</c:v>
                </c:pt>
                <c:pt idx="3">
                  <c:v>0.53400000000000003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4-48D6-A2A4-65CFC0389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8280368"/>
        <c:axId val="538281088"/>
      </c:lineChart>
      <c:catAx>
        <c:axId val="53828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1088"/>
        <c:crosses val="autoZero"/>
        <c:auto val="1"/>
        <c:lblAlgn val="ctr"/>
        <c:lblOffset val="100"/>
        <c:noMultiLvlLbl val="0"/>
      </c:catAx>
      <c:valAx>
        <c:axId val="5382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Recall!$D$8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Recall!$E$7:$H$7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Recall!$E$8:$H$8</c:f>
              <c:numCache>
                <c:formatCode>General</c:formatCode>
                <c:ptCount val="4"/>
                <c:pt idx="0" formatCode="0.000">
                  <c:v>0.52120000000000011</c:v>
                </c:pt>
                <c:pt idx="1">
                  <c:v>0.44</c:v>
                </c:pt>
                <c:pt idx="2">
                  <c:v>0.71399999999999997</c:v>
                </c:pt>
                <c:pt idx="3">
                  <c:v>0.61899999999999999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A-44D4-A0BA-C192498D84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38285768"/>
        <c:axId val="538282528"/>
      </c:lineChart>
      <c:catAx>
        <c:axId val="53828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2528"/>
        <c:crosses val="autoZero"/>
        <c:auto val="1"/>
        <c:lblAlgn val="ctr"/>
        <c:lblOffset val="100"/>
        <c:noMultiLvlLbl val="0"/>
      </c:catAx>
      <c:valAx>
        <c:axId val="5382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SCORE'!$D$12</c:f>
              <c:strCache>
                <c:ptCount val="1"/>
                <c:pt idx="0">
                  <c:v>F1 SCORE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 SCORE'!$E$11:$H$11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'F1 SCORE'!$E$12:$H$12</c:f>
              <c:numCache>
                <c:formatCode>0.00</c:formatCode>
                <c:ptCount val="4"/>
                <c:pt idx="0" formatCode="0.000">
                  <c:v>0.54136344360934907</c:v>
                </c:pt>
                <c:pt idx="1">
                  <c:v>0.432</c:v>
                </c:pt>
                <c:pt idx="2" formatCode="General">
                  <c:v>0.75</c:v>
                </c:pt>
                <c:pt idx="3" formatCode="General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A-4E91-8525-937F2F414B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6999832"/>
        <c:axId val="577000552"/>
      </c:lineChart>
      <c:catAx>
        <c:axId val="576999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0552"/>
        <c:crosses val="autoZero"/>
        <c:auto val="1"/>
        <c:lblAlgn val="ctr"/>
        <c:lblOffset val="100"/>
        <c:noMultiLvlLbl val="0"/>
      </c:catAx>
      <c:valAx>
        <c:axId val="57700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20</xdr:row>
      <xdr:rowOff>137160</xdr:rowOff>
    </xdr:from>
    <xdr:to>
      <xdr:col>18</xdr:col>
      <xdr:colOff>548640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CA4D9-D512-D6F2-1F15-74A7EDF73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18884</xdr:colOff>
      <xdr:row>5</xdr:row>
      <xdr:rowOff>77028</xdr:rowOff>
    </xdr:from>
    <xdr:to>
      <xdr:col>18</xdr:col>
      <xdr:colOff>323684</xdr:colOff>
      <xdr:row>20</xdr:row>
      <xdr:rowOff>77028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6BB3C-DC6F-C851-D478-FC3056F1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2</xdr:row>
      <xdr:rowOff>163830</xdr:rowOff>
    </xdr:from>
    <xdr:to>
      <xdr:col>18</xdr:col>
      <xdr:colOff>563880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44CEB-6B52-9AF0-E4DC-275B2D1C3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80010</xdr:rowOff>
    </xdr:from>
    <xdr:to>
      <xdr:col>17</xdr:col>
      <xdr:colOff>304800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B8B00-AF67-7FFF-36D1-E94FFB842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477716</xdr:colOff>
      <xdr:row>2</xdr:row>
      <xdr:rowOff>140677</xdr:rowOff>
    </xdr:from>
    <xdr:to>
      <xdr:col>16</xdr:col>
      <xdr:colOff>172916</xdr:colOff>
      <xdr:row>17</xdr:row>
      <xdr:rowOff>158261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0F929-D12D-546D-F8D4-4B7E69A36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mAP@.5" TargetMode="External"/><Relationship Id="rId1" Type="http://schemas.openxmlformats.org/officeDocument/2006/relationships/hyperlink" Target="mailto:mAP@.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2B6A-8D44-4253-9FD5-2F7015DC667A}">
  <dimension ref="B8:Q51"/>
  <sheetViews>
    <sheetView topLeftCell="A7" zoomScaleNormal="100" workbookViewId="0">
      <selection activeCell="K44" sqref="K44"/>
    </sheetView>
  </sheetViews>
  <sheetFormatPr defaultRowHeight="14.4" x14ac:dyDescent="0.3"/>
  <cols>
    <col min="4" max="4" width="15.21875" bestFit="1" customWidth="1"/>
    <col min="5" max="5" width="6.109375" bestFit="1" customWidth="1"/>
    <col min="8" max="8" width="9" bestFit="1" customWidth="1"/>
  </cols>
  <sheetData>
    <row r="8" spans="2:12" ht="15" thickBot="1" x14ac:dyDescent="0.35">
      <c r="B8" s="4" t="s">
        <v>16</v>
      </c>
    </row>
    <row r="9" spans="2:12" ht="15" thickBot="1" x14ac:dyDescent="0.35">
      <c r="B9" s="6" t="s">
        <v>23</v>
      </c>
      <c r="C9" s="48" t="s">
        <v>24</v>
      </c>
      <c r="D9" s="49"/>
      <c r="E9" s="48" t="s">
        <v>24</v>
      </c>
      <c r="F9" s="49"/>
      <c r="G9" s="48" t="s">
        <v>24</v>
      </c>
      <c r="H9" s="49"/>
      <c r="I9" s="48" t="s">
        <v>24</v>
      </c>
      <c r="J9" s="49"/>
      <c r="K9" s="48" t="s">
        <v>24</v>
      </c>
      <c r="L9" s="49"/>
    </row>
    <row r="10" spans="2:12" ht="15" thickBot="1" x14ac:dyDescent="0.35">
      <c r="B10" s="5" t="s">
        <v>17</v>
      </c>
      <c r="C10" s="48" t="s">
        <v>18</v>
      </c>
      <c r="D10" s="49"/>
      <c r="E10" s="48" t="s">
        <v>19</v>
      </c>
      <c r="F10" s="49"/>
      <c r="G10" s="48" t="s">
        <v>20</v>
      </c>
      <c r="H10" s="49"/>
      <c r="I10" s="48" t="s">
        <v>21</v>
      </c>
      <c r="J10" s="49"/>
      <c r="K10" s="48" t="s">
        <v>22</v>
      </c>
      <c r="L10" s="49"/>
    </row>
    <row r="11" spans="2:12" ht="21" thickBot="1" x14ac:dyDescent="0.35">
      <c r="B11" s="6" t="s">
        <v>25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</row>
    <row r="12" spans="2:12" ht="21" thickBot="1" x14ac:dyDescent="0.35">
      <c r="B12" s="6" t="s">
        <v>26</v>
      </c>
      <c r="C12" s="8">
        <v>38</v>
      </c>
      <c r="D12" s="8">
        <v>34</v>
      </c>
      <c r="E12" s="8">
        <v>31</v>
      </c>
      <c r="F12" s="8">
        <v>37</v>
      </c>
      <c r="G12" s="8">
        <v>33</v>
      </c>
      <c r="H12" s="8">
        <v>37</v>
      </c>
      <c r="I12" s="8">
        <v>34</v>
      </c>
      <c r="J12" s="8">
        <v>39</v>
      </c>
      <c r="K12" s="8">
        <v>33</v>
      </c>
      <c r="L12" s="8">
        <v>38</v>
      </c>
    </row>
    <row r="13" spans="2:12" ht="15.6" customHeight="1" x14ac:dyDescent="0.3">
      <c r="B13" s="52" t="s">
        <v>27</v>
      </c>
      <c r="C13" s="50">
        <v>3.4</v>
      </c>
      <c r="D13" s="50">
        <v>3.8</v>
      </c>
      <c r="E13" s="50">
        <v>0.2</v>
      </c>
      <c r="F13" s="50">
        <v>0.4</v>
      </c>
      <c r="G13" s="50">
        <v>1.9</v>
      </c>
      <c r="H13" s="50">
        <v>2.4</v>
      </c>
      <c r="I13" s="50">
        <v>2.2000000000000002</v>
      </c>
      <c r="J13" s="50">
        <v>2.2999999999999998</v>
      </c>
      <c r="K13" s="50">
        <v>0.2</v>
      </c>
      <c r="L13" s="50">
        <v>0.3</v>
      </c>
    </row>
    <row r="14" spans="2:12" ht="15" thickBot="1" x14ac:dyDescent="0.35">
      <c r="B14" s="53"/>
      <c r="C14" s="51"/>
      <c r="D14" s="51"/>
      <c r="E14" s="51"/>
      <c r="F14" s="51"/>
      <c r="G14" s="51"/>
      <c r="H14" s="51"/>
      <c r="I14" s="51"/>
      <c r="J14" s="51"/>
      <c r="K14" s="51"/>
      <c r="L14" s="51"/>
    </row>
    <row r="15" spans="2:12" x14ac:dyDescent="0.3">
      <c r="B15" s="9"/>
    </row>
    <row r="16" spans="2:12" x14ac:dyDescent="0.3">
      <c r="B16" s="10"/>
    </row>
    <row r="17" spans="2:7" x14ac:dyDescent="0.3">
      <c r="B17" s="11"/>
    </row>
    <row r="18" spans="2:7" x14ac:dyDescent="0.3">
      <c r="B18" s="11"/>
    </row>
    <row r="19" spans="2:7" x14ac:dyDescent="0.3">
      <c r="B19" s="11"/>
    </row>
    <row r="20" spans="2:7" x14ac:dyDescent="0.3">
      <c r="B20" s="4"/>
    </row>
    <row r="21" spans="2:7" ht="15" thickBot="1" x14ac:dyDescent="0.35">
      <c r="B21" s="4" t="s">
        <v>28</v>
      </c>
    </row>
    <row r="22" spans="2:7" ht="15" thickBot="1" x14ac:dyDescent="0.35">
      <c r="B22" s="12" t="s">
        <v>17</v>
      </c>
      <c r="C22" s="13" t="s">
        <v>18</v>
      </c>
      <c r="D22" s="13" t="s">
        <v>19</v>
      </c>
      <c r="E22" s="13" t="s">
        <v>20</v>
      </c>
      <c r="F22" s="13" t="s">
        <v>21</v>
      </c>
      <c r="G22" s="13" t="s">
        <v>22</v>
      </c>
    </row>
    <row r="23" spans="2:7" ht="21" thickBot="1" x14ac:dyDescent="0.35">
      <c r="B23" s="14" t="s">
        <v>29</v>
      </c>
      <c r="C23" s="15">
        <v>0.05</v>
      </c>
      <c r="D23" s="15">
        <v>0.25</v>
      </c>
      <c r="E23" s="15">
        <v>0.25</v>
      </c>
      <c r="F23" s="15">
        <v>0.25</v>
      </c>
      <c r="G23" s="15">
        <v>0.25</v>
      </c>
    </row>
    <row r="24" spans="2:7" ht="31.2" thickBot="1" x14ac:dyDescent="0.35">
      <c r="B24" s="14" t="s">
        <v>30</v>
      </c>
      <c r="C24" s="15">
        <v>0.5</v>
      </c>
      <c r="D24" s="15">
        <v>0.45</v>
      </c>
      <c r="E24" s="15">
        <v>0.45</v>
      </c>
      <c r="F24" s="15">
        <v>0.45</v>
      </c>
      <c r="G24" s="15">
        <v>0.7</v>
      </c>
    </row>
    <row r="25" spans="2:7" ht="41.4" thickBot="1" x14ac:dyDescent="0.35">
      <c r="B25" s="14" t="s">
        <v>31</v>
      </c>
      <c r="C25" s="16">
        <v>0.84</v>
      </c>
      <c r="D25" s="16">
        <v>0.74</v>
      </c>
      <c r="E25" s="16">
        <v>0.74</v>
      </c>
      <c r="F25" s="16">
        <v>0.74</v>
      </c>
      <c r="G25" s="16">
        <v>0.5</v>
      </c>
    </row>
    <row r="33" spans="2:17" x14ac:dyDescent="0.3">
      <c r="D33" t="s">
        <v>34</v>
      </c>
    </row>
    <row r="34" spans="2:17" x14ac:dyDescent="0.3">
      <c r="B34" t="s">
        <v>44</v>
      </c>
    </row>
    <row r="35" spans="2:17" x14ac:dyDescent="0.3">
      <c r="B35" t="s">
        <v>45</v>
      </c>
    </row>
    <row r="36" spans="2:17" x14ac:dyDescent="0.3">
      <c r="B36" t="s">
        <v>46</v>
      </c>
    </row>
    <row r="37" spans="2:17" x14ac:dyDescent="0.3">
      <c r="B37" t="s">
        <v>47</v>
      </c>
    </row>
    <row r="38" spans="2:17" x14ac:dyDescent="0.3">
      <c r="B38" t="s">
        <v>48</v>
      </c>
    </row>
    <row r="39" spans="2:17" x14ac:dyDescent="0.3">
      <c r="B39" t="s">
        <v>49</v>
      </c>
    </row>
    <row r="40" spans="2:17" x14ac:dyDescent="0.3">
      <c r="B40" t="s">
        <v>50</v>
      </c>
    </row>
    <row r="41" spans="2:17" x14ac:dyDescent="0.3">
      <c r="B41" t="s">
        <v>51</v>
      </c>
      <c r="O41" t="s">
        <v>6</v>
      </c>
      <c r="P41" t="s">
        <v>7</v>
      </c>
    </row>
    <row r="42" spans="2:17" x14ac:dyDescent="0.3">
      <c r="O42">
        <v>0.92600000000000005</v>
      </c>
      <c r="P42">
        <v>0.78600000000000003</v>
      </c>
      <c r="Q42">
        <f>2*(O42*P42/(O42+P42))</f>
        <v>0.85027570093457938</v>
      </c>
    </row>
    <row r="43" spans="2:17" ht="15" thickBot="1" x14ac:dyDescent="0.35"/>
    <row r="44" spans="2:17" ht="15" thickBot="1" x14ac:dyDescent="0.35">
      <c r="D44" s="29"/>
      <c r="E44" s="18"/>
      <c r="F44" s="18" t="s">
        <v>34</v>
      </c>
      <c r="G44" s="18"/>
      <c r="H44" s="19"/>
      <c r="O44">
        <v>0.33</v>
      </c>
      <c r="P44">
        <v>0.2</v>
      </c>
      <c r="Q44">
        <f t="shared" ref="Q44:Q49" si="0">2*(O44*P44/(O44+P44))</f>
        <v>0.24905660377358491</v>
      </c>
    </row>
    <row r="45" spans="2:17" ht="15" thickBot="1" x14ac:dyDescent="0.35">
      <c r="D45" s="20" t="s">
        <v>0</v>
      </c>
      <c r="E45" s="30" t="s">
        <v>52</v>
      </c>
      <c r="F45" s="21" t="s">
        <v>53</v>
      </c>
      <c r="G45" s="30" t="s">
        <v>13</v>
      </c>
      <c r="H45" s="22" t="s">
        <v>54</v>
      </c>
      <c r="O45">
        <v>0.56000000000000005</v>
      </c>
      <c r="P45">
        <v>0.47599999999999998</v>
      </c>
      <c r="Q45">
        <f t="shared" si="0"/>
        <v>0.51459459459459467</v>
      </c>
    </row>
    <row r="46" spans="2:17" x14ac:dyDescent="0.3">
      <c r="D46" s="27" t="s">
        <v>55</v>
      </c>
      <c r="E46" s="28">
        <v>0.68</v>
      </c>
      <c r="F46" s="28">
        <v>0.2</v>
      </c>
      <c r="G46" s="28">
        <v>0.33</v>
      </c>
      <c r="H46" s="31">
        <v>0.24905660377358491</v>
      </c>
      <c r="O46">
        <v>0.35299999999999998</v>
      </c>
      <c r="P46">
        <v>0.28399999999999997</v>
      </c>
      <c r="Q46">
        <f t="shared" si="0"/>
        <v>0.31476295133437981</v>
      </c>
    </row>
    <row r="47" spans="2:17" x14ac:dyDescent="0.3">
      <c r="D47" s="24" t="s">
        <v>56</v>
      </c>
      <c r="E47" s="23">
        <v>0.73</v>
      </c>
      <c r="F47" s="23">
        <v>0.47599999999999998</v>
      </c>
      <c r="G47" s="23">
        <v>0.56000000000000005</v>
      </c>
      <c r="H47" s="32">
        <v>0.51459459459459467</v>
      </c>
      <c r="O47">
        <v>0.72499999999999998</v>
      </c>
      <c r="P47">
        <v>0.58499999999999996</v>
      </c>
      <c r="Q47">
        <f t="shared" si="0"/>
        <v>0.64751908396946556</v>
      </c>
    </row>
    <row r="48" spans="2:17" x14ac:dyDescent="0.3">
      <c r="D48" s="24" t="s">
        <v>57</v>
      </c>
      <c r="E48" s="23">
        <v>0.501</v>
      </c>
      <c r="F48" s="23">
        <v>0.28399999999999997</v>
      </c>
      <c r="G48" s="23">
        <v>0.35299999999999998</v>
      </c>
      <c r="H48" s="32">
        <v>0.31476295133437981</v>
      </c>
      <c r="O48">
        <v>0.995</v>
      </c>
      <c r="P48">
        <v>1</v>
      </c>
      <c r="Q48">
        <f t="shared" si="0"/>
        <v>0.99749373433583954</v>
      </c>
    </row>
    <row r="49" spans="4:17" x14ac:dyDescent="0.3">
      <c r="D49" s="24" t="s">
        <v>58</v>
      </c>
      <c r="E49" s="23">
        <v>0.81</v>
      </c>
      <c r="F49" s="23">
        <v>0.58499999999999996</v>
      </c>
      <c r="G49" s="23">
        <v>0.72499999999999998</v>
      </c>
      <c r="H49" s="32">
        <v>0.64751908396946556</v>
      </c>
      <c r="O49">
        <v>0.77100000000000002</v>
      </c>
      <c r="P49">
        <v>0.75600000000000001</v>
      </c>
      <c r="Q49">
        <f t="shared" si="0"/>
        <v>0.76342632612966599</v>
      </c>
    </row>
    <row r="50" spans="4:17" x14ac:dyDescent="0.3">
      <c r="D50" s="24" t="s">
        <v>59</v>
      </c>
      <c r="E50" s="23">
        <v>0.89400000000000002</v>
      </c>
      <c r="F50" s="23">
        <v>1</v>
      </c>
      <c r="G50" s="23">
        <v>0.995</v>
      </c>
      <c r="H50" s="32">
        <v>0.99749373433583954</v>
      </c>
    </row>
    <row r="51" spans="4:17" ht="15" thickBot="1" x14ac:dyDescent="0.35">
      <c r="D51" s="25" t="s">
        <v>60</v>
      </c>
      <c r="E51" s="26">
        <v>0.59899999999999998</v>
      </c>
      <c r="F51" s="26">
        <v>0.75600000000000001</v>
      </c>
      <c r="G51" s="26">
        <v>0.77100000000000002</v>
      </c>
      <c r="H51" s="33">
        <v>0.76342632612966599</v>
      </c>
    </row>
  </sheetData>
  <mergeCells count="2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  <mergeCell ref="K10:L10"/>
    <mergeCell ref="C9:D9"/>
    <mergeCell ref="E9:F9"/>
    <mergeCell ref="G9:H9"/>
    <mergeCell ref="I9:J9"/>
    <mergeCell ref="K9:L9"/>
    <mergeCell ref="C10:D10"/>
    <mergeCell ref="E10:F10"/>
    <mergeCell ref="G10:H10"/>
    <mergeCell ref="I10:J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52BA-80F8-48E4-BAEB-2C5D125B3115}">
  <dimension ref="B3:I45"/>
  <sheetViews>
    <sheetView tabSelected="1" topLeftCell="A10" zoomScale="115" zoomScaleNormal="115" workbookViewId="0">
      <selection activeCell="J33" sqref="J33"/>
    </sheetView>
  </sheetViews>
  <sheetFormatPr defaultRowHeight="14.4" x14ac:dyDescent="0.3"/>
  <sheetData>
    <row r="3" spans="2:8" x14ac:dyDescent="0.3">
      <c r="F3" t="s">
        <v>13</v>
      </c>
    </row>
    <row r="6" spans="2:8" x14ac:dyDescent="0.3">
      <c r="E6" s="3" t="s">
        <v>8</v>
      </c>
    </row>
    <row r="8" spans="2:8" x14ac:dyDescent="0.3">
      <c r="D8" s="1" t="s">
        <v>0</v>
      </c>
      <c r="E8" t="s">
        <v>10</v>
      </c>
      <c r="F8" t="s">
        <v>32</v>
      </c>
      <c r="G8" t="s">
        <v>33</v>
      </c>
      <c r="H8" t="s">
        <v>34</v>
      </c>
    </row>
    <row r="9" spans="2:8" x14ac:dyDescent="0.3">
      <c r="D9" t="s">
        <v>13</v>
      </c>
      <c r="E9">
        <v>0.56520000000000004</v>
      </c>
      <c r="F9">
        <v>0.436</v>
      </c>
      <c r="G9">
        <v>0.79400000000000004</v>
      </c>
      <c r="H9">
        <v>0.58299999999999996</v>
      </c>
    </row>
    <row r="11" spans="2:8" x14ac:dyDescent="0.3">
      <c r="B11">
        <v>0.56520000000000004</v>
      </c>
    </row>
    <row r="12" spans="2:8" x14ac:dyDescent="0.3">
      <c r="D12" t="s">
        <v>1</v>
      </c>
    </row>
    <row r="13" spans="2:8" x14ac:dyDescent="0.3">
      <c r="D13" t="s">
        <v>2</v>
      </c>
    </row>
    <row r="14" spans="2:8" x14ac:dyDescent="0.3">
      <c r="D14" t="s">
        <v>3</v>
      </c>
    </row>
    <row r="15" spans="2:8" x14ac:dyDescent="0.3">
      <c r="D15" t="s">
        <v>4</v>
      </c>
    </row>
    <row r="16" spans="2:8" x14ac:dyDescent="0.3">
      <c r="D16" t="s">
        <v>5</v>
      </c>
    </row>
    <row r="19" spans="2:8" x14ac:dyDescent="0.3">
      <c r="D19" t="s">
        <v>10</v>
      </c>
    </row>
    <row r="20" spans="2:8" x14ac:dyDescent="0.3">
      <c r="B20" s="1" t="s">
        <v>0</v>
      </c>
      <c r="C20" t="s">
        <v>11</v>
      </c>
      <c r="D20" t="s">
        <v>6</v>
      </c>
      <c r="E20" t="s">
        <v>7</v>
      </c>
      <c r="F20" t="s">
        <v>36</v>
      </c>
      <c r="G20" t="s">
        <v>8</v>
      </c>
      <c r="H20" t="s">
        <v>9</v>
      </c>
    </row>
    <row r="21" spans="2:8" x14ac:dyDescent="0.3">
      <c r="B21" t="s">
        <v>76</v>
      </c>
      <c r="D21">
        <v>0.64700000000000002</v>
      </c>
      <c r="E21">
        <v>0.52100000000000002</v>
      </c>
      <c r="F21" s="47">
        <v>0.54100000000000004</v>
      </c>
      <c r="G21" s="47">
        <v>0.56499999999999995</v>
      </c>
    </row>
    <row r="23" spans="2:8" x14ac:dyDescent="0.3">
      <c r="D23" t="s">
        <v>32</v>
      </c>
    </row>
    <row r="24" spans="2:8" x14ac:dyDescent="0.3">
      <c r="B24" t="s">
        <v>37</v>
      </c>
    </row>
    <row r="25" spans="2:8" x14ac:dyDescent="0.3">
      <c r="B25" t="s">
        <v>78</v>
      </c>
      <c r="E25" t="s">
        <v>77</v>
      </c>
    </row>
    <row r="28" spans="2:8" x14ac:dyDescent="0.3">
      <c r="D28" t="s">
        <v>33</v>
      </c>
    </row>
    <row r="29" spans="2:8" x14ac:dyDescent="0.3">
      <c r="B29" t="s">
        <v>39</v>
      </c>
      <c r="E29" t="s">
        <v>40</v>
      </c>
      <c r="F29" t="s">
        <v>41</v>
      </c>
      <c r="G29" t="s">
        <v>36</v>
      </c>
      <c r="H29" s="17" t="s">
        <v>42</v>
      </c>
    </row>
    <row r="30" spans="2:8" x14ac:dyDescent="0.3">
      <c r="C30" t="s">
        <v>80</v>
      </c>
    </row>
    <row r="31" spans="2:8" x14ac:dyDescent="0.3">
      <c r="B31" t="s">
        <v>81</v>
      </c>
    </row>
    <row r="32" spans="2:8" x14ac:dyDescent="0.3">
      <c r="B32" t="s">
        <v>82</v>
      </c>
    </row>
    <row r="33" spans="2:9" x14ac:dyDescent="0.3">
      <c r="B33" t="s">
        <v>83</v>
      </c>
    </row>
    <row r="34" spans="2:9" x14ac:dyDescent="0.3">
      <c r="B34" t="s">
        <v>84</v>
      </c>
    </row>
    <row r="35" spans="2:9" x14ac:dyDescent="0.3">
      <c r="B35" t="s">
        <v>85</v>
      </c>
    </row>
    <row r="37" spans="2:9" x14ac:dyDescent="0.3">
      <c r="D37" t="s">
        <v>34</v>
      </c>
    </row>
    <row r="38" spans="2:9" x14ac:dyDescent="0.3">
      <c r="B38" t="s">
        <v>44</v>
      </c>
      <c r="E38" t="s">
        <v>6</v>
      </c>
      <c r="F38" t="s">
        <v>7</v>
      </c>
      <c r="G38" t="s">
        <v>36</v>
      </c>
      <c r="H38" s="17" t="s">
        <v>42</v>
      </c>
    </row>
    <row r="39" spans="2:9" x14ac:dyDescent="0.3">
      <c r="B39" t="s">
        <v>79</v>
      </c>
      <c r="E39">
        <v>0.53400000000000003</v>
      </c>
      <c r="F39">
        <v>0.61899999999999999</v>
      </c>
      <c r="G39">
        <v>0.56999999999999995</v>
      </c>
      <c r="H39">
        <v>0.58299999999999996</v>
      </c>
      <c r="I39">
        <v>0.46600000000000003</v>
      </c>
    </row>
    <row r="40" spans="2:9" x14ac:dyDescent="0.3">
      <c r="B40" t="s">
        <v>71</v>
      </c>
      <c r="E40">
        <v>0.753</v>
      </c>
    </row>
    <row r="41" spans="2:9" x14ac:dyDescent="0.3">
      <c r="B41" t="s">
        <v>72</v>
      </c>
    </row>
    <row r="42" spans="2:9" x14ac:dyDescent="0.3">
      <c r="B42" t="s">
        <v>73</v>
      </c>
    </row>
    <row r="43" spans="2:9" x14ac:dyDescent="0.3">
      <c r="B43" t="s">
        <v>74</v>
      </c>
    </row>
    <row r="44" spans="2:9" x14ac:dyDescent="0.3">
      <c r="B44" t="s">
        <v>75</v>
      </c>
    </row>
    <row r="45" spans="2:9" x14ac:dyDescent="0.3">
      <c r="B45" t="s">
        <v>51</v>
      </c>
    </row>
  </sheetData>
  <phoneticPr fontId="4" type="noConversion"/>
  <hyperlinks>
    <hyperlink ref="H29" r:id="rId1" xr:uid="{5762E0E6-7EE6-4C17-B14B-366FC56B4366}"/>
    <hyperlink ref="H38" r:id="rId2" xr:uid="{14F3ED1C-B03B-4E1F-AB25-8C2CAC513A6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9348-7AF6-47F8-950A-18B720610996}">
  <dimension ref="B6:I34"/>
  <sheetViews>
    <sheetView workbookViewId="0">
      <selection activeCell="D10" sqref="D10"/>
    </sheetView>
  </sheetViews>
  <sheetFormatPr defaultRowHeight="14.4" x14ac:dyDescent="0.3"/>
  <sheetData>
    <row r="6" spans="3:7" x14ac:dyDescent="0.3">
      <c r="F6" t="s">
        <v>14</v>
      </c>
    </row>
    <row r="9" spans="3:7" x14ac:dyDescent="0.3">
      <c r="C9" s="1" t="s">
        <v>0</v>
      </c>
      <c r="D9" t="s">
        <v>10</v>
      </c>
      <c r="E9" t="s">
        <v>32</v>
      </c>
      <c r="F9" t="s">
        <v>33</v>
      </c>
      <c r="G9" t="s">
        <v>34</v>
      </c>
    </row>
    <row r="10" spans="3:7" x14ac:dyDescent="0.3">
      <c r="C10" t="s">
        <v>14</v>
      </c>
      <c r="D10">
        <v>0.64700000000000002</v>
      </c>
      <c r="E10">
        <v>0.626</v>
      </c>
      <c r="F10">
        <v>0.78700000000000003</v>
      </c>
      <c r="G10">
        <v>0.53400000000000003</v>
      </c>
    </row>
    <row r="11" spans="3:7" x14ac:dyDescent="0.3">
      <c r="C11" t="s">
        <v>1</v>
      </c>
    </row>
    <row r="12" spans="3:7" x14ac:dyDescent="0.3">
      <c r="C12" t="s">
        <v>2</v>
      </c>
    </row>
    <row r="13" spans="3:7" x14ac:dyDescent="0.3">
      <c r="C13" t="s">
        <v>3</v>
      </c>
      <c r="G13">
        <v>0.70199999999999996</v>
      </c>
    </row>
    <row r="14" spans="3:7" x14ac:dyDescent="0.3">
      <c r="C14" t="s">
        <v>4</v>
      </c>
    </row>
    <row r="15" spans="3:7" x14ac:dyDescent="0.3">
      <c r="C15" t="s">
        <v>5</v>
      </c>
    </row>
    <row r="19" spans="2:8" x14ac:dyDescent="0.3">
      <c r="C19" s="1" t="s">
        <v>0</v>
      </c>
      <c r="D19" t="s">
        <v>11</v>
      </c>
      <c r="E19" t="s">
        <v>6</v>
      </c>
      <c r="F19" t="s">
        <v>7</v>
      </c>
      <c r="G19" t="s">
        <v>36</v>
      </c>
    </row>
    <row r="20" spans="2:8" x14ac:dyDescent="0.3">
      <c r="C20" t="s">
        <v>12</v>
      </c>
      <c r="E20">
        <v>0.83899999999999997</v>
      </c>
      <c r="F20">
        <v>0.76</v>
      </c>
      <c r="G20" s="47">
        <v>0.78908319590589382</v>
      </c>
    </row>
    <row r="23" spans="2:8" x14ac:dyDescent="0.3">
      <c r="B23" t="s">
        <v>37</v>
      </c>
    </row>
    <row r="24" spans="2:8" x14ac:dyDescent="0.3">
      <c r="B24" t="s">
        <v>38</v>
      </c>
      <c r="E24">
        <v>0.626</v>
      </c>
      <c r="F24">
        <v>0.44</v>
      </c>
      <c r="G24">
        <v>0.432</v>
      </c>
    </row>
    <row r="26" spans="2:8" x14ac:dyDescent="0.3">
      <c r="E26">
        <v>0.83</v>
      </c>
    </row>
    <row r="28" spans="2:8" x14ac:dyDescent="0.3">
      <c r="D28" t="s">
        <v>33</v>
      </c>
    </row>
    <row r="29" spans="2:8" x14ac:dyDescent="0.3">
      <c r="B29" t="s">
        <v>39</v>
      </c>
      <c r="E29" t="s">
        <v>40</v>
      </c>
      <c r="F29" t="s">
        <v>41</v>
      </c>
      <c r="G29" t="s">
        <v>36</v>
      </c>
      <c r="H29" s="17"/>
    </row>
    <row r="30" spans="2:8" x14ac:dyDescent="0.3">
      <c r="B30" t="s">
        <v>69</v>
      </c>
      <c r="E30">
        <v>0.78700000000000003</v>
      </c>
      <c r="F30">
        <v>0.71399999999999997</v>
      </c>
      <c r="G30">
        <v>0.75</v>
      </c>
    </row>
    <row r="32" spans="2:8" x14ac:dyDescent="0.3">
      <c r="D32" t="s">
        <v>34</v>
      </c>
    </row>
    <row r="33" spans="2:9" x14ac:dyDescent="0.3">
      <c r="B33" t="s">
        <v>44</v>
      </c>
      <c r="E33" t="s">
        <v>6</v>
      </c>
      <c r="F33" t="s">
        <v>7</v>
      </c>
      <c r="G33" t="s">
        <v>36</v>
      </c>
    </row>
    <row r="34" spans="2:9" x14ac:dyDescent="0.3">
      <c r="B34" t="s">
        <v>79</v>
      </c>
      <c r="E34">
        <v>0.53400000000000003</v>
      </c>
      <c r="F34">
        <v>0.61899999999999999</v>
      </c>
      <c r="G34">
        <v>0.56999999999999995</v>
      </c>
      <c r="H34">
        <v>0.58299999999999996</v>
      </c>
      <c r="I34">
        <v>0.46600000000000003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3C9E-C64C-4F9D-8D86-A8A926B0ACC4}">
  <dimension ref="B3:H32"/>
  <sheetViews>
    <sheetView topLeftCell="A4" zoomScale="115" zoomScaleNormal="115" workbookViewId="0">
      <selection activeCell="E8" sqref="E8"/>
    </sheetView>
  </sheetViews>
  <sheetFormatPr defaultRowHeight="14.4" x14ac:dyDescent="0.3"/>
  <sheetData>
    <row r="3" spans="4:8" x14ac:dyDescent="0.3">
      <c r="G3" t="s">
        <v>15</v>
      </c>
    </row>
    <row r="7" spans="4:8" x14ac:dyDescent="0.3">
      <c r="D7" s="1" t="s">
        <v>0</v>
      </c>
      <c r="E7" t="s">
        <v>10</v>
      </c>
      <c r="F7" t="s">
        <v>32</v>
      </c>
      <c r="G7" t="s">
        <v>33</v>
      </c>
      <c r="H7" t="s">
        <v>34</v>
      </c>
    </row>
    <row r="8" spans="4:8" x14ac:dyDescent="0.3">
      <c r="D8" t="s">
        <v>15</v>
      </c>
      <c r="E8" s="47">
        <v>0.52120000000000011</v>
      </c>
      <c r="F8">
        <v>0.44</v>
      </c>
      <c r="G8">
        <v>0.71399999999999997</v>
      </c>
      <c r="H8">
        <v>0.61899999999999999</v>
      </c>
    </row>
    <row r="9" spans="4:8" x14ac:dyDescent="0.3">
      <c r="D9" s="2"/>
    </row>
    <row r="10" spans="4:8" x14ac:dyDescent="0.3">
      <c r="D10" t="s">
        <v>1</v>
      </c>
    </row>
    <row r="11" spans="4:8" x14ac:dyDescent="0.3">
      <c r="D11" t="s">
        <v>2</v>
      </c>
      <c r="H11">
        <v>0.55000000000000004</v>
      </c>
    </row>
    <row r="12" spans="4:8" x14ac:dyDescent="0.3">
      <c r="D12" t="s">
        <v>3</v>
      </c>
    </row>
    <row r="13" spans="4:8" x14ac:dyDescent="0.3">
      <c r="D13" t="s">
        <v>4</v>
      </c>
    </row>
    <row r="14" spans="4:8" x14ac:dyDescent="0.3">
      <c r="D14" t="s">
        <v>5</v>
      </c>
    </row>
    <row r="20" spans="2:8" x14ac:dyDescent="0.3">
      <c r="D20" s="1" t="s">
        <v>0</v>
      </c>
      <c r="G20" t="s">
        <v>7</v>
      </c>
      <c r="H20" t="s">
        <v>36</v>
      </c>
    </row>
    <row r="21" spans="2:8" x14ac:dyDescent="0.3">
      <c r="D21" t="s">
        <v>12</v>
      </c>
      <c r="G21" s="47">
        <v>0.76025000000000009</v>
      </c>
      <c r="H21" s="47">
        <v>0.78908319590589382</v>
      </c>
    </row>
    <row r="23" spans="2:8" x14ac:dyDescent="0.3">
      <c r="B23" t="s">
        <v>37</v>
      </c>
    </row>
    <row r="24" spans="2:8" x14ac:dyDescent="0.3">
      <c r="B24" t="s">
        <v>38</v>
      </c>
      <c r="F24">
        <v>0.71399999999999997</v>
      </c>
      <c r="G24">
        <v>0.75</v>
      </c>
    </row>
    <row r="26" spans="2:8" x14ac:dyDescent="0.3">
      <c r="E26" t="s">
        <v>33</v>
      </c>
    </row>
    <row r="27" spans="2:8" x14ac:dyDescent="0.3">
      <c r="C27" t="s">
        <v>39</v>
      </c>
      <c r="F27" t="s">
        <v>40</v>
      </c>
      <c r="G27" t="s">
        <v>41</v>
      </c>
      <c r="H27" t="s">
        <v>36</v>
      </c>
    </row>
    <row r="28" spans="2:8" x14ac:dyDescent="0.3">
      <c r="C28" t="s">
        <v>43</v>
      </c>
      <c r="D28" t="s">
        <v>70</v>
      </c>
      <c r="G28">
        <v>0.78</v>
      </c>
      <c r="H28">
        <v>0.82</v>
      </c>
    </row>
    <row r="30" spans="2:8" x14ac:dyDescent="0.3">
      <c r="D30" t="s">
        <v>34</v>
      </c>
    </row>
    <row r="31" spans="2:8" x14ac:dyDescent="0.3">
      <c r="B31" t="s">
        <v>44</v>
      </c>
      <c r="F31" t="s">
        <v>35</v>
      </c>
    </row>
    <row r="32" spans="2:8" x14ac:dyDescent="0.3">
      <c r="B32" t="s">
        <v>79</v>
      </c>
      <c r="E32">
        <v>0.61899999999999999</v>
      </c>
      <c r="F32">
        <v>0.56999999999999995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0337-15C8-435F-A1F6-274459DA72D4}">
  <dimension ref="A5:H40"/>
  <sheetViews>
    <sheetView zoomScale="130" zoomScaleNormal="130" workbookViewId="0">
      <selection activeCell="F3" sqref="F3"/>
    </sheetView>
  </sheetViews>
  <sheetFormatPr defaultRowHeight="14.4" x14ac:dyDescent="0.3"/>
  <cols>
    <col min="3" max="3" width="10.5546875" bestFit="1" customWidth="1"/>
  </cols>
  <sheetData>
    <row r="5" spans="1:8" x14ac:dyDescent="0.3">
      <c r="H5" t="s">
        <v>35</v>
      </c>
    </row>
    <row r="11" spans="1:8" x14ac:dyDescent="0.3">
      <c r="A11" t="s">
        <v>6</v>
      </c>
      <c r="B11" t="s">
        <v>7</v>
      </c>
      <c r="D11" s="1" t="s">
        <v>0</v>
      </c>
      <c r="E11" t="s">
        <v>10</v>
      </c>
      <c r="F11" t="s">
        <v>32</v>
      </c>
      <c r="G11" t="s">
        <v>33</v>
      </c>
      <c r="H11" t="s">
        <v>34</v>
      </c>
    </row>
    <row r="12" spans="1:8" x14ac:dyDescent="0.3">
      <c r="A12">
        <v>0.92600000000000005</v>
      </c>
      <c r="B12">
        <v>0.78600000000000003</v>
      </c>
      <c r="C12">
        <f>2*(A12*B12/(A12+B12))</f>
        <v>0.85027570093457938</v>
      </c>
      <c r="D12" t="s">
        <v>35</v>
      </c>
      <c r="E12" s="47">
        <v>0.54136344360934907</v>
      </c>
      <c r="F12" s="44">
        <v>0.432</v>
      </c>
      <c r="G12">
        <v>0.75</v>
      </c>
      <c r="H12">
        <v>0.56999999999999995</v>
      </c>
    </row>
    <row r="15" spans="1:8" x14ac:dyDescent="0.3">
      <c r="H15">
        <v>0.55000000000000004</v>
      </c>
    </row>
    <row r="16" spans="1:8" x14ac:dyDescent="0.3">
      <c r="A16">
        <v>0.96199999999999997</v>
      </c>
      <c r="B16">
        <v>1</v>
      </c>
      <c r="C16">
        <f t="shared" ref="C16:C21" si="0">2*(A16*B16/(A16+B16))</f>
        <v>0.98063200815494389</v>
      </c>
      <c r="F16">
        <v>0.52100000000000002</v>
      </c>
    </row>
    <row r="17" spans="1:6" ht="15.6" x14ac:dyDescent="0.3">
      <c r="A17" s="34">
        <v>0.99</v>
      </c>
      <c r="B17" s="34">
        <v>0.93200000000000005</v>
      </c>
      <c r="C17">
        <f t="shared" si="0"/>
        <v>0.96012486992715917</v>
      </c>
      <c r="F17">
        <v>0.82</v>
      </c>
    </row>
    <row r="18" spans="1:6" x14ac:dyDescent="0.3">
      <c r="A18">
        <v>0.98</v>
      </c>
      <c r="B18">
        <v>0.97</v>
      </c>
      <c r="C18">
        <f t="shared" si="0"/>
        <v>0.97497435897435902</v>
      </c>
      <c r="F18">
        <v>0.75</v>
      </c>
    </row>
    <row r="19" spans="1:6" x14ac:dyDescent="0.3">
      <c r="A19">
        <v>0.99099999999999999</v>
      </c>
      <c r="B19">
        <v>0.94199999999999995</v>
      </c>
      <c r="C19">
        <f t="shared" si="0"/>
        <v>0.96587894464562862</v>
      </c>
      <c r="F19">
        <v>0.56999999999999995</v>
      </c>
    </row>
    <row r="20" spans="1:6" x14ac:dyDescent="0.3">
      <c r="A20">
        <v>0.995</v>
      </c>
      <c r="B20">
        <v>1</v>
      </c>
      <c r="C20">
        <f t="shared" si="0"/>
        <v>0.99749373433583954</v>
      </c>
    </row>
    <row r="21" spans="1:6" x14ac:dyDescent="0.3">
      <c r="A21">
        <v>0.98699999999999999</v>
      </c>
      <c r="B21">
        <v>0.94799999999999995</v>
      </c>
      <c r="C21">
        <f t="shared" si="0"/>
        <v>0.967106976744186</v>
      </c>
    </row>
    <row r="24" spans="1:6" x14ac:dyDescent="0.3">
      <c r="A24">
        <v>0.56499999999999995</v>
      </c>
      <c r="B24">
        <v>0.52100000000000002</v>
      </c>
      <c r="C24">
        <f t="shared" ref="C24:C27" si="1">2*(A24*B24/(A24+B24))</f>
        <v>0.54210865561694299</v>
      </c>
      <c r="D24" s="44">
        <v>0.54210865561694299</v>
      </c>
    </row>
    <row r="25" spans="1:6" x14ac:dyDescent="0.3">
      <c r="A25">
        <v>0.436</v>
      </c>
      <c r="B25">
        <v>0.44</v>
      </c>
      <c r="C25">
        <f t="shared" si="1"/>
        <v>0.43799086757990868</v>
      </c>
      <c r="D25" s="44">
        <v>0.43799086757990868</v>
      </c>
      <c r="E25">
        <v>0.432</v>
      </c>
    </row>
    <row r="26" spans="1:6" x14ac:dyDescent="0.3">
      <c r="A26">
        <v>0.78700000000000003</v>
      </c>
      <c r="B26">
        <v>0.71399999999999997</v>
      </c>
      <c r="C26">
        <f>2*(A26*B26/(A26+B26))</f>
        <v>0.7487248500999335</v>
      </c>
      <c r="D26" s="44">
        <v>0.7487248500999335</v>
      </c>
    </row>
    <row r="27" spans="1:6" x14ac:dyDescent="0.3">
      <c r="A27">
        <v>0.53400000000000003</v>
      </c>
      <c r="B27">
        <v>0.61899999999999999</v>
      </c>
      <c r="C27">
        <f t="shared" si="1"/>
        <v>0.57336686903729406</v>
      </c>
      <c r="D27" s="44">
        <v>0.57336686903729406</v>
      </c>
    </row>
    <row r="34" spans="1:3" ht="15" thickBot="1" x14ac:dyDescent="0.35"/>
    <row r="35" spans="1:3" ht="15" thickBot="1" x14ac:dyDescent="0.35">
      <c r="C35" s="45">
        <v>0.92300000000000004</v>
      </c>
    </row>
    <row r="36" spans="1:3" ht="15" thickBot="1" x14ac:dyDescent="0.35">
      <c r="C36" s="46">
        <v>0.90500000000000003</v>
      </c>
    </row>
    <row r="37" spans="1:3" ht="15" thickBot="1" x14ac:dyDescent="0.35">
      <c r="C37" s="46">
        <v>0.71699999999999997</v>
      </c>
    </row>
    <row r="38" spans="1:3" ht="15" thickBot="1" x14ac:dyDescent="0.35">
      <c r="C38" s="46">
        <v>0.66900000000000004</v>
      </c>
    </row>
    <row r="39" spans="1:3" x14ac:dyDescent="0.3">
      <c r="A39">
        <v>0.59199999999999997</v>
      </c>
      <c r="B39">
        <v>0.5</v>
      </c>
      <c r="C39" s="43">
        <f t="shared" ref="C39" si="2">2*(A39*B39/(A39+B39))</f>
        <v>0.54212454212454209</v>
      </c>
    </row>
    <row r="40" spans="1:3" x14ac:dyDescent="0.3">
      <c r="C40">
        <f>AVERAGE(C35:C39)</f>
        <v>0.75122490842490841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F866-B2ED-4A2C-82BD-DDCD4CE2EE31}">
  <dimension ref="A9:M52"/>
  <sheetViews>
    <sheetView topLeftCell="A7" workbookViewId="0">
      <selection activeCell="H24" sqref="H24"/>
    </sheetView>
  </sheetViews>
  <sheetFormatPr defaultRowHeight="14.4" x14ac:dyDescent="0.3"/>
  <cols>
    <col min="8" max="8" width="83" customWidth="1"/>
    <col min="11" max="11" width="15.88671875" bestFit="1" customWidth="1"/>
  </cols>
  <sheetData>
    <row r="9" spans="1:13" x14ac:dyDescent="0.3">
      <c r="J9">
        <v>203</v>
      </c>
    </row>
    <row r="10" spans="1:13" ht="15" thickBot="1" x14ac:dyDescent="0.35">
      <c r="D10" t="s">
        <v>6</v>
      </c>
      <c r="E10" t="s">
        <v>7</v>
      </c>
      <c r="F10" t="s">
        <v>61</v>
      </c>
      <c r="J10">
        <v>34</v>
      </c>
      <c r="K10" t="s">
        <v>64</v>
      </c>
      <c r="L10">
        <v>0</v>
      </c>
      <c r="M10">
        <v>217</v>
      </c>
    </row>
    <row r="11" spans="1:13" ht="16.2" thickBot="1" x14ac:dyDescent="0.35">
      <c r="A11" s="37">
        <v>227</v>
      </c>
      <c r="B11" s="37">
        <v>0.95599999999999996</v>
      </c>
      <c r="D11">
        <v>0.96099999999999997</v>
      </c>
      <c r="E11" s="36">
        <v>0.94699999999999995</v>
      </c>
      <c r="F11">
        <f t="shared" ref="F11:F15" si="0">2*(D11*E11/(D11+E11))</f>
        <v>0.95394863731656188</v>
      </c>
      <c r="J11">
        <v>1013</v>
      </c>
      <c r="K11" t="s">
        <v>65</v>
      </c>
      <c r="L11">
        <v>1013</v>
      </c>
      <c r="M11">
        <v>86</v>
      </c>
    </row>
    <row r="12" spans="1:13" ht="16.2" thickBot="1" x14ac:dyDescent="0.35">
      <c r="A12" s="38">
        <v>91</v>
      </c>
      <c r="B12" s="38">
        <v>0.94099999999999995</v>
      </c>
      <c r="D12" s="34">
        <v>0.93400000000000005</v>
      </c>
      <c r="E12" s="34">
        <v>0.878</v>
      </c>
      <c r="F12">
        <f t="shared" si="0"/>
        <v>0.9051346578366446</v>
      </c>
      <c r="J12">
        <v>60</v>
      </c>
      <c r="K12" t="s">
        <v>66</v>
      </c>
      <c r="L12">
        <v>203</v>
      </c>
    </row>
    <row r="13" spans="1:13" ht="15.6" thickBot="1" x14ac:dyDescent="0.35">
      <c r="A13" s="38">
        <v>3</v>
      </c>
      <c r="B13" s="38">
        <v>0.46200000000000002</v>
      </c>
      <c r="D13">
        <v>0.74099999999999999</v>
      </c>
      <c r="E13">
        <v>0.66700000000000004</v>
      </c>
      <c r="F13">
        <f t="shared" si="0"/>
        <v>0.70205539772727288</v>
      </c>
      <c r="J13">
        <v>196</v>
      </c>
      <c r="K13" t="s">
        <v>67</v>
      </c>
      <c r="L13">
        <v>1</v>
      </c>
    </row>
    <row r="14" spans="1:13" ht="15.6" thickBot="1" x14ac:dyDescent="0.35">
      <c r="A14" s="38">
        <v>28</v>
      </c>
      <c r="B14" s="38">
        <v>1</v>
      </c>
      <c r="D14">
        <v>0.96299999999999997</v>
      </c>
      <c r="E14">
        <v>0.57099999999999995</v>
      </c>
      <c r="F14">
        <f t="shared" si="0"/>
        <v>0.71691395045632333</v>
      </c>
      <c r="J14">
        <f>SUM(J10:J13)</f>
        <v>1303</v>
      </c>
      <c r="K14" t="s">
        <v>68</v>
      </c>
      <c r="L14">
        <f>SUM(L10:L13)</f>
        <v>1217</v>
      </c>
      <c r="M14">
        <f>SUM(M10:M13)</f>
        <v>303</v>
      </c>
    </row>
    <row r="15" spans="1:13" ht="15.6" thickBot="1" x14ac:dyDescent="0.35">
      <c r="A15" s="38">
        <v>2</v>
      </c>
      <c r="B15" s="38">
        <v>1</v>
      </c>
      <c r="D15">
        <v>1.9699999999999999E-2</v>
      </c>
      <c r="E15">
        <v>0</v>
      </c>
      <c r="F15">
        <f t="shared" si="0"/>
        <v>0</v>
      </c>
    </row>
    <row r="16" spans="1:13" x14ac:dyDescent="0.3">
      <c r="A16">
        <f>SUM(A11:A15)</f>
        <v>351</v>
      </c>
      <c r="B16">
        <f t="shared" ref="B16" si="1">AVERAGE(B11:B15)</f>
        <v>0.87180000000000002</v>
      </c>
      <c r="D16">
        <f t="shared" ref="D16:E16" si="2">AVERAGE(D11:D15)</f>
        <v>0.72374000000000005</v>
      </c>
      <c r="E16">
        <f t="shared" si="2"/>
        <v>0.61259999999999992</v>
      </c>
      <c r="F16">
        <f>AVERAGE(F11:F15)</f>
        <v>0.65561052866736058</v>
      </c>
    </row>
    <row r="19" spans="1:8" ht="66" x14ac:dyDescent="0.3">
      <c r="G19" s="35" t="s">
        <v>62</v>
      </c>
      <c r="H19" s="35" t="s">
        <v>63</v>
      </c>
    </row>
    <row r="21" spans="1:8" ht="15" thickBot="1" x14ac:dyDescent="0.35">
      <c r="A21" t="s">
        <v>6</v>
      </c>
      <c r="B21" t="s">
        <v>7</v>
      </c>
      <c r="C21" t="s">
        <v>61</v>
      </c>
    </row>
    <row r="22" spans="1:8" ht="15.6" thickBot="1" x14ac:dyDescent="0.35">
      <c r="A22" s="37">
        <v>0.28999999999999998</v>
      </c>
      <c r="B22" s="39">
        <v>0.61</v>
      </c>
      <c r="C22">
        <f t="shared" ref="C22:C28" si="3">2*(A22*B22/(A22+B22))</f>
        <v>0.39311111111111108</v>
      </c>
      <c r="D22" s="37"/>
      <c r="E22" s="37"/>
      <c r="F22" s="39"/>
    </row>
    <row r="23" spans="1:8" ht="15.6" thickBot="1" x14ac:dyDescent="0.35">
      <c r="A23" s="38">
        <v>0.18099999999999999</v>
      </c>
      <c r="B23" s="40">
        <v>0.69</v>
      </c>
      <c r="C23">
        <f t="shared" si="3"/>
        <v>0.28677382319173361</v>
      </c>
      <c r="D23" s="38"/>
      <c r="E23" s="37">
        <v>0.871</v>
      </c>
      <c r="F23" s="39">
        <v>0.61299999999999999</v>
      </c>
      <c r="G23">
        <f t="shared" ref="G23" si="4">2*(E23*F23/(E23+F23))</f>
        <v>0.71957277628032346</v>
      </c>
    </row>
    <row r="24" spans="1:8" ht="15.6" thickBot="1" x14ac:dyDescent="0.35">
      <c r="A24" s="38">
        <v>0</v>
      </c>
      <c r="B24" s="40">
        <v>0</v>
      </c>
      <c r="C24" t="e">
        <f t="shared" si="3"/>
        <v>#DIV/0!</v>
      </c>
      <c r="D24" s="38"/>
    </row>
    <row r="25" spans="1:8" ht="15.6" thickBot="1" x14ac:dyDescent="0.35">
      <c r="A25" s="38">
        <v>0</v>
      </c>
      <c r="B25" s="40">
        <v>0</v>
      </c>
      <c r="D25" s="38"/>
      <c r="E25" s="37"/>
      <c r="F25" s="39"/>
    </row>
    <row r="26" spans="1:8" ht="15.6" thickBot="1" x14ac:dyDescent="0.35">
      <c r="A26" s="38">
        <v>3.4000000000000002E-2</v>
      </c>
      <c r="B26" s="40">
        <v>0.12</v>
      </c>
      <c r="C26">
        <f t="shared" si="3"/>
        <v>5.2987012987012992E-2</v>
      </c>
      <c r="D26" s="38"/>
    </row>
    <row r="27" spans="1:8" ht="15" thickBot="1" x14ac:dyDescent="0.35">
      <c r="A27" s="41"/>
      <c r="B27" s="42"/>
    </row>
    <row r="28" spans="1:8" ht="15.6" thickBot="1" x14ac:dyDescent="0.35">
      <c r="A28" s="38">
        <v>0.158</v>
      </c>
      <c r="B28" s="40">
        <v>0.44</v>
      </c>
      <c r="C28">
        <f t="shared" si="3"/>
        <v>0.23250836120401339</v>
      </c>
      <c r="D28" s="38"/>
    </row>
    <row r="31" spans="1:8" x14ac:dyDescent="0.3">
      <c r="C31" t="s">
        <v>33</v>
      </c>
    </row>
    <row r="32" spans="1:8" ht="15" thickBot="1" x14ac:dyDescent="0.35">
      <c r="A32" t="s">
        <v>6</v>
      </c>
      <c r="B32" t="s">
        <v>7</v>
      </c>
      <c r="C32" t="s">
        <v>61</v>
      </c>
    </row>
    <row r="33" spans="1:8" ht="15.6" thickBot="1" x14ac:dyDescent="0.35">
      <c r="A33" s="37">
        <v>0.76200000000000001</v>
      </c>
      <c r="B33" s="39">
        <v>0.97</v>
      </c>
      <c r="C33">
        <f t="shared" ref="C33:C37" si="5">2*(A33*B33/(A33+B33))</f>
        <v>0.85351039260969985</v>
      </c>
      <c r="E33" s="37">
        <v>669</v>
      </c>
    </row>
    <row r="34" spans="1:8" ht="15.6" thickBot="1" x14ac:dyDescent="0.35">
      <c r="A34" s="38">
        <v>0.76600000000000001</v>
      </c>
      <c r="B34" s="40">
        <v>0.93899999999999995</v>
      </c>
      <c r="C34">
        <f t="shared" si="5"/>
        <v>0.84372316715542517</v>
      </c>
      <c r="E34" s="38">
        <v>624</v>
      </c>
    </row>
    <row r="35" spans="1:8" ht="15.6" thickBot="1" x14ac:dyDescent="0.35">
      <c r="A35" s="38">
        <v>0.71</v>
      </c>
      <c r="B35" s="40">
        <v>0.69599999999999995</v>
      </c>
      <c r="C35">
        <f t="shared" si="5"/>
        <v>0.70293029871977231</v>
      </c>
      <c r="E35" s="38">
        <v>46</v>
      </c>
    </row>
    <row r="36" spans="1:8" ht="15.6" thickBot="1" x14ac:dyDescent="0.35">
      <c r="A36" s="38">
        <v>0.58699999999999997</v>
      </c>
      <c r="B36" s="40">
        <v>0.73199999999999998</v>
      </c>
      <c r="C36">
        <f t="shared" si="5"/>
        <v>0.65152994692949195</v>
      </c>
      <c r="E36" s="38">
        <v>168</v>
      </c>
    </row>
    <row r="37" spans="1:8" ht="15.6" thickBot="1" x14ac:dyDescent="0.35">
      <c r="A37" s="38">
        <v>1</v>
      </c>
      <c r="B37" s="40">
        <v>0</v>
      </c>
      <c r="C37">
        <f t="shared" si="5"/>
        <v>0</v>
      </c>
      <c r="E37" s="38">
        <v>52</v>
      </c>
    </row>
    <row r="38" spans="1:8" ht="15.6" thickBot="1" x14ac:dyDescent="0.35">
      <c r="A38" s="38">
        <f>AVERAGE(A33:A37)</f>
        <v>0.76500000000000001</v>
      </c>
      <c r="B38" s="38">
        <f>AVERAGE(B33:B37)</f>
        <v>0.66739999999999999</v>
      </c>
      <c r="C38">
        <f t="shared" ref="C38" si="6">2*(A38*B38/(A38+B38))</f>
        <v>0.71287489528064796</v>
      </c>
      <c r="E38">
        <f>SUM(E33:E37)</f>
        <v>1559</v>
      </c>
    </row>
    <row r="45" spans="1:8" ht="15" thickBot="1" x14ac:dyDescent="0.35"/>
    <row r="46" spans="1:8" ht="15.6" thickBot="1" x14ac:dyDescent="0.35">
      <c r="A46" s="37">
        <v>0.73</v>
      </c>
      <c r="B46" s="39">
        <v>0.47599999999999998</v>
      </c>
      <c r="C46">
        <f t="shared" ref="C46:C51" si="7">2*(A46*B46/(A46+B46))</f>
        <v>0.57625207296849079</v>
      </c>
      <c r="E46" s="37">
        <v>378</v>
      </c>
      <c r="G46">
        <v>0.47</v>
      </c>
      <c r="H46">
        <v>0.26</v>
      </c>
    </row>
    <row r="47" spans="1:8" ht="15.6" thickBot="1" x14ac:dyDescent="0.35">
      <c r="A47" s="38">
        <v>0.501</v>
      </c>
      <c r="B47" s="40">
        <v>0.28399999999999997</v>
      </c>
      <c r="C47">
        <f t="shared" si="7"/>
        <v>0.36250700636942679</v>
      </c>
      <c r="E47" s="38">
        <v>99</v>
      </c>
      <c r="G47">
        <v>0.52</v>
      </c>
      <c r="H47">
        <v>0.74</v>
      </c>
    </row>
    <row r="48" spans="1:8" ht="15.6" thickBot="1" x14ac:dyDescent="0.35">
      <c r="A48" s="38">
        <v>0.81</v>
      </c>
      <c r="B48" s="40">
        <v>0.58499999999999996</v>
      </c>
      <c r="C48">
        <f t="shared" si="7"/>
        <v>0.67935483870967739</v>
      </c>
      <c r="E48" s="38">
        <v>41</v>
      </c>
      <c r="G48">
        <f>AVERAGE(G46:G47)</f>
        <v>0.495</v>
      </c>
      <c r="H48">
        <f>AVERAGE(H46:H47)</f>
        <v>0.5</v>
      </c>
    </row>
    <row r="49" spans="1:5" ht="15.6" thickBot="1" x14ac:dyDescent="0.35">
      <c r="A49" s="38">
        <v>0.59899999999999998</v>
      </c>
      <c r="B49" s="40">
        <v>0.75600000000000001</v>
      </c>
      <c r="C49">
        <f t="shared" si="7"/>
        <v>0.66840442804428035</v>
      </c>
      <c r="E49" s="38">
        <v>45</v>
      </c>
    </row>
    <row r="50" spans="1:5" ht="15.6" thickBot="1" x14ac:dyDescent="0.35">
      <c r="A50" s="38">
        <v>0.68</v>
      </c>
      <c r="B50" s="40">
        <v>0.2</v>
      </c>
      <c r="C50">
        <f t="shared" si="7"/>
        <v>0.30909090909090908</v>
      </c>
      <c r="E50" s="38">
        <v>5</v>
      </c>
    </row>
    <row r="51" spans="1:5" ht="15.6" thickBot="1" x14ac:dyDescent="0.35">
      <c r="A51" s="38">
        <v>0.89400000000000002</v>
      </c>
      <c r="B51" s="40">
        <v>1</v>
      </c>
      <c r="C51">
        <f t="shared" si="7"/>
        <v>0.94403379091869055</v>
      </c>
      <c r="E51" s="38">
        <v>1</v>
      </c>
    </row>
    <row r="52" spans="1:5" ht="15.6" thickBot="1" x14ac:dyDescent="0.35">
      <c r="A52" s="38">
        <f>AVERAGE(A47:A51)</f>
        <v>0.69679999999999997</v>
      </c>
      <c r="B52" s="38">
        <f t="shared" ref="B52:C52" si="8">AVERAGE(B47:B51)</f>
        <v>0.56500000000000006</v>
      </c>
      <c r="C52" s="38">
        <f t="shared" si="8"/>
        <v>0.59267819462659688</v>
      </c>
      <c r="E52">
        <f>SUM(E46:E51)</f>
        <v>569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Accuracy</vt:lpstr>
      <vt:lpstr>Precision</vt:lpstr>
      <vt:lpstr>Recall</vt:lpstr>
      <vt:lpstr>F1 SCORE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John</dc:creator>
  <cp:lastModifiedBy>Anand John</cp:lastModifiedBy>
  <dcterms:created xsi:type="dcterms:W3CDTF">2025-03-03T11:55:06Z</dcterms:created>
  <dcterms:modified xsi:type="dcterms:W3CDTF">2026-01-11T13:05:05Z</dcterms:modified>
</cp:coreProperties>
</file>